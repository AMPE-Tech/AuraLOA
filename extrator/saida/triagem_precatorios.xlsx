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gem" sheetId="1" state="visible" r:id="rId3"/>
    <sheet name="Parametros" sheetId="2" state="visible" r:id="rId4"/>
    <sheet name="Beneficiarios" sheetId="3" state="visible" r:id="rId5"/>
    <sheet name="Valores" sheetId="4" state="visible" r:id="rId6"/>
    <sheet name="Consistencia" sheetId="5" state="visible" r:id="rId7"/>
    <sheet name="Riscos_Pendencias" sheetId="6" state="visible" r:id="rId8"/>
    <sheet name="Resumo" sheetId="7" state="visible" r:id="rId9"/>
    <sheet name="Dicionario" sheetId="8" state="visible" r:id="rId10"/>
  </sheets>
  <definedNames>
    <definedName function="false" hidden="true" localSheetId="0" name="_xlnm._FilterDatabase" vbProcedure="false">Triagem!$A$4:$AC$5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<sst xmlns="http://schemas.openxmlformats.org/spreadsheetml/2006/main" count="369" uniqueCount="213">
  <si>
    <t xml:space="preserve">TRIAGEM DE PRECATÓRIOS — SELEÇÃO PARA PRÉ-DUE-DILIGENCE</t>
  </si>
  <si>
    <t xml:space="preserve">Colunas azuis são calculadas por fórmula — não digite nelas. Colunas amarelas (SELECIONAR, Responsável, Observações) são suas. A classificação é uma sugestão do score, não uma decisão: a coluna SELECIONAR é que vale.</t>
  </si>
  <si>
    <t xml:space="preserve">ID</t>
  </si>
  <si>
    <t xml:space="preserve">Nº Precatório</t>
  </si>
  <si>
    <t xml:space="preserve">Processo CNJ</t>
  </si>
  <si>
    <t xml:space="preserve">Tribunal</t>
  </si>
  <si>
    <t xml:space="preserve">Ente Devedor</t>
  </si>
  <si>
    <t xml:space="preserve">Natureza</t>
  </si>
  <si>
    <t xml:space="preserve">Beneficiário Principal</t>
  </si>
  <si>
    <t xml:space="preserve">Qtd. Benef.</t>
  </si>
  <si>
    <t xml:space="preserve">Data-Base</t>
  </si>
  <si>
    <t xml:space="preserve">Trânsito em Julgado</t>
  </si>
  <si>
    <t xml:space="preserve">Valor Bruto Requisitado</t>
  </si>
  <si>
    <t xml:space="preserve">Valor Atualizado</t>
  </si>
  <si>
    <t xml:space="preserve">Deságio</t>
  </si>
  <si>
    <t xml:space="preserve">Valor Líquido p/ Acordo</t>
  </si>
  <si>
    <t xml:space="preserve">Prazo de Adesão</t>
  </si>
  <si>
    <t xml:space="preserve">Super-preferência</t>
  </si>
  <si>
    <t xml:space="preserve">Pendências</t>
  </si>
  <si>
    <t xml:space="preserve">Riscos</t>
  </si>
  <si>
    <t xml:space="preserve">Cobertura Extração</t>
  </si>
  <si>
    <t xml:space="preserve">Nota Valor</t>
  </si>
  <si>
    <t xml:space="preserve">Nota Maturidade</t>
  </si>
  <si>
    <t xml:space="preserve">Nota Preferência</t>
  </si>
  <si>
    <t xml:space="preserve">Nota Liquidez</t>
  </si>
  <si>
    <t xml:space="preserve">Nota Completude</t>
  </si>
  <si>
    <t xml:space="preserve">SCORE</t>
  </si>
  <si>
    <t xml:space="preserve">Classificação Sugerida</t>
  </si>
  <si>
    <t xml:space="preserve">SELECIONAR p/ Pré-DD</t>
  </si>
  <si>
    <t xml:space="preserve">Responsável</t>
  </si>
  <si>
    <t xml:space="preserve">Observações</t>
  </si>
  <si>
    <t xml:space="preserve">2025.04839-9</t>
  </si>
  <si>
    <t xml:space="preserve">0060506-95.2004.8.19.0001</t>
  </si>
  <si>
    <t xml:space="preserve">TJRJ</t>
  </si>
  <si>
    <t xml:space="preserve">ESTADO DO RIO DE JANEIRO</t>
  </si>
  <si>
    <t xml:space="preserve">ALIMENTÍCIA</t>
  </si>
  <si>
    <t xml:space="preserve">ESPÓLIO DE PAULO EDUARDO MERHI MAYA</t>
  </si>
  <si>
    <t xml:space="preserve">10/03/2022</t>
  </si>
  <si>
    <t xml:space="preserve">26/08/2010</t>
  </si>
  <si>
    <t xml:space="preserve">25/08/2025</t>
  </si>
  <si>
    <t xml:space="preserve">NÃO</t>
  </si>
  <si>
    <t xml:space="preserve">PENDENTE</t>
  </si>
  <si>
    <t xml:space="preserve">PARAMETROS DE TRIAGEM</t>
  </si>
  <si>
    <t xml:space="preserve">Edite apenas as celulas amarelas da coluna B. Todas as notas e o score da aba Triagem sao formulas que apontam para ca — alterar um peso reordena a triagem inteira sem reprocessar nenhum PDF. A soma dos cinco pesos deve dar 100.</t>
  </si>
  <si>
    <t xml:space="preserve">Parametro</t>
  </si>
  <si>
    <t xml:space="preserve">Valor</t>
  </si>
  <si>
    <t xml:space="preserve">O que faz</t>
  </si>
  <si>
    <t xml:space="preserve">Peso — Valor do credito</t>
  </si>
  <si>
    <t xml:space="preserve">Quanto o tamanho do credito pesa no score (0 a 100).</t>
  </si>
  <si>
    <t xml:space="preserve">Peso — Maturidade documental</t>
  </si>
  <si>
    <t xml:space="preserve">Transito em julgado, precatorio autuado, ausencia de pendencias.</t>
  </si>
  <si>
    <t xml:space="preserve">Peso — Preferencia</t>
  </si>
  <si>
    <t xml:space="preserve">Natureza alimenticia e superpreferencia (idoso, doenca grave, PcD).</t>
  </si>
  <si>
    <t xml:space="preserve">Peso — Liquidez</t>
  </si>
  <si>
    <t xml:space="preserve">Existencia de janela de acordo direto e tamanho do desagio.</t>
  </si>
  <si>
    <t xml:space="preserve">Peso — Completude da extracao</t>
  </si>
  <si>
    <t xml:space="preserve">Cobertura dos campos essenciais no documento lido.</t>
  </si>
  <si>
    <t xml:space="preserve">Valor de referencia p/ nota 10 (R$)</t>
  </si>
  <si>
    <t xml:space="preserve">Credito neste valor recebe nota 10 na dimensao Valor.</t>
  </si>
  <si>
    <t xml:space="preserve">Corte — APROVAR (score &gt;=)</t>
  </si>
  <si>
    <t xml:space="preserve">Score igual ou acima classifica como APROVAR.</t>
  </si>
  <si>
    <t xml:space="preserve">Corte — REVISAR (score &gt;=)</t>
  </si>
  <si>
    <t xml:space="preserve">Entre este corte e o de APROVAR classifica como REVISAR.</t>
  </si>
  <si>
    <t xml:space="preserve">Penalidade por pendencia documental</t>
  </si>
  <si>
    <t xml:space="preserve">Descontado da nota de maturidade, ate o teto de 3 pontos.</t>
  </si>
  <si>
    <t xml:space="preserve">Penalidade — sem transito em julgado</t>
  </si>
  <si>
    <t xml:space="preserve">Descontado da nota de maturidade.</t>
  </si>
  <si>
    <t xml:space="preserve">Penalidade — sem numero de precatorio</t>
  </si>
  <si>
    <t xml:space="preserve">Soma dos pesos (deve ser 100)</t>
  </si>
  <si>
    <t xml:space="preserve">Se nao fechar 100, o score deixa de ser comparavel entre linhas.</t>
  </si>
  <si>
    <t xml:space="preserve">Beneficiário</t>
  </si>
  <si>
    <t xml:space="preserve">Papel</t>
  </si>
  <si>
    <t xml:space="preserve">CPF/CNPJ</t>
  </si>
  <si>
    <t xml:space="preserve">OAB</t>
  </si>
  <si>
    <t xml:space="preserve">%</t>
  </si>
  <si>
    <t xml:space="preserve">Principal (data-base)</t>
  </si>
  <si>
    <t xml:space="preserve">Juros (data-base)</t>
  </si>
  <si>
    <t xml:space="preserve">Total (data-base)</t>
  </si>
  <si>
    <t xml:space="preserve">Líquido p/ Acordo</t>
  </si>
  <si>
    <t xml:space="preserve">Banco</t>
  </si>
  <si>
    <t xml:space="preserve">Agência</t>
  </si>
  <si>
    <t xml:space="preserve">Conta</t>
  </si>
  <si>
    <t xml:space="preserve">titular</t>
  </si>
  <si>
    <t xml:space="preserve">816.521.437-34</t>
  </si>
  <si>
    <t xml:space="preserve">RENAN LOUREIRO LABORNE BORGES</t>
  </si>
  <si>
    <t xml:space="preserve">advogado — reserva de honorários</t>
  </si>
  <si>
    <t xml:space="preserve">094.464.997-12</t>
  </si>
  <si>
    <t xml:space="preserve">OAB/RJ 145.324</t>
  </si>
  <si>
    <t xml:space="preserve">001 - BCO DO BRASIL S.A.</t>
  </si>
  <si>
    <t xml:space="preserve">3788-5</t>
  </si>
  <si>
    <t xml:space="preserve">106.595-5</t>
  </si>
  <si>
    <t xml:space="preserve">ALLAN JAMMEL SOARES DA SILVA</t>
  </si>
  <si>
    <t xml:space="preserve">094.321.657-52</t>
  </si>
  <si>
    <t xml:space="preserve">OAB/RJ 160.894</t>
  </si>
  <si>
    <t xml:space="preserve">237 - BCO BRADESCO S.A.</t>
  </si>
  <si>
    <t xml:space="preserve">3199</t>
  </si>
  <si>
    <t xml:space="preserve">45904-6</t>
  </si>
  <si>
    <t xml:space="preserve">TOTAL</t>
  </si>
  <si>
    <t xml:space="preserve">Valor Bruto Requisição</t>
  </si>
  <si>
    <t xml:space="preserve">Principal Corrigido</t>
  </si>
  <si>
    <t xml:space="preserve">Juros</t>
  </si>
  <si>
    <t xml:space="preserve">Honorários</t>
  </si>
  <si>
    <t xml:space="preserve">Desconto Previdenciário</t>
  </si>
  <si>
    <t xml:space="preserve">Descontos/Retenções</t>
  </si>
  <si>
    <t xml:space="preserve">Correção Monetária</t>
  </si>
  <si>
    <t xml:space="preserve">Desconto previdenciário R$ 56.103,77 (Rio Previdência); incide IR; reserva CEJUR/PGE R$ 290.763,86; deságio de acordo direto 40%</t>
  </si>
  <si>
    <t xml:space="preserve">Fator 1,35690000 (10/03/2022 a 01/03/2025); fator 1,01053606 (01/03/2025 a 25/07/2025); fator 1,37119638 (10/03/2022 a 25/07/2025). Metodologia PGE: IPCA-E de jun/2009 a nov/2021 e após SELIC</t>
  </si>
  <si>
    <t xml:space="preserve">Três demonstrativos de cálculo independentes. Cessões registradas: R$ 880.926,90 em 10/03/2022 (honorários 25%) e R$ 290.763,86 em 01/03/2025 (CEJUR/PGE, 10% sobre excesso de R$ 2.907.638,62). Retificação de 08/05/2025 por Ester Freire da Silva (Mat. T57428) ajustou o total de Allan Jammel de R$ 440.463,46 para R$ 440.463,45.</t>
  </si>
  <si>
    <t xml:space="preserve">Checagem</t>
  </si>
  <si>
    <t xml:space="preserve">Fórmula conferida</t>
  </si>
  <si>
    <t xml:space="preserve">Situação</t>
  </si>
  <si>
    <t xml:space="preserve">Diferença (R$)</t>
  </si>
  <si>
    <t xml:space="preserve">Observação</t>
  </si>
  <si>
    <t xml:space="preserve">Principal + juros = bruto</t>
  </si>
  <si>
    <t xml:space="preserve">1.857.054,00 + 1.666.653,62 = 3.523.707,62</t>
  </si>
  <si>
    <t xml:space="preserve">OK</t>
  </si>
  <si>
    <t xml:space="preserve">Bruto - previdenciário = cálculo inicial</t>
  </si>
  <si>
    <t xml:space="preserve">3.523.707,62 - 56.103,77 = 3.467.603,85</t>
  </si>
  <si>
    <t xml:space="preserve">Honorários 25% = cessão de 10/03/2022</t>
  </si>
  <si>
    <t xml:space="preserve">3.523.707,62 x 25% = 880.926,90</t>
  </si>
  <si>
    <t xml:space="preserve">Valor após cessão de honorários</t>
  </si>
  <si>
    <t xml:space="preserve">3.467.603,85 - 880.926,90 = 2.586.676,95</t>
  </si>
  <si>
    <t xml:space="preserve">Valor após cessão CEJUR/PGE</t>
  </si>
  <si>
    <t xml:space="preserve">3.509.861,95 - 290.763,86 = 3.219.098,09</t>
  </si>
  <si>
    <t xml:space="preserve">Deságio de ESPÓLIO DE PAULO EDUARDO MERHI</t>
  </si>
  <si>
    <t xml:space="preserve">valor_atualizado x (1 - deságio) = valor_liquido_acordo</t>
  </si>
  <si>
    <t xml:space="preserve">Deságio de RENAN LOUREIRO LABORNE BORGES</t>
  </si>
  <si>
    <t xml:space="preserve">Deságio de ALLAN JAMMEL SOARES DA SILVA</t>
  </si>
  <si>
    <t xml:space="preserve">Soma dos beneficiários = bruto</t>
  </si>
  <si>
    <t xml:space="preserve">SOMA(beneficiarios.valor_total) = valor_bruto_requisicao</t>
  </si>
  <si>
    <t xml:space="preserve">DIVERGENTE</t>
  </si>
  <si>
    <t xml:space="preserve">diferença = desconto previdenciário; esperado neste tipo de documento</t>
  </si>
  <si>
    <t xml:space="preserve">Categoria</t>
  </si>
  <si>
    <t xml:space="preserve">Item</t>
  </si>
  <si>
    <t xml:space="preserve">Tratado?</t>
  </si>
  <si>
    <t xml:space="preserve">Risco</t>
  </si>
  <si>
    <t xml:space="preserve">Deságio de 40% no acordo direto representa perda nominal de R$ 1.784.375,40 frente ao valor atualizado</t>
  </si>
  <si>
    <t xml:space="preserve">Beneficiário é espólio em inventário extrajudicial: levantamento depende da regularidade da representação e de alvará ou formal de partilha</t>
  </si>
  <si>
    <t xml:space="preserve">Certidão de 07/03/2025 registra que NÃO foram juntados os documentos do art. 2º do Ato Normativo TJ nº 06/2023 nem o comprovante de regularidade do CPF</t>
  </si>
  <si>
    <t xml:space="preserve">Elegibilidade ao acordo exige ausência de penhora e de compensação tributária — condição não comprovada no dossiê</t>
  </si>
  <si>
    <t xml:space="preserve">Crédito paralelo no mesmo processo (herdeiros de THERESA IDALINA DE SOUZA MARQUES) ainda não requisitado por falta de trânsito em julgado da decisão Id 2176</t>
  </si>
  <si>
    <t xml:space="preserve">Pendência / dúvida</t>
  </si>
  <si>
    <t xml:space="preserve">ano_loa não consta em nenhuma página do documento</t>
  </si>
  <si>
    <t xml:space="preserve">Data de nascimento do beneficiário em branco — impede aferir superpreferência por idade</t>
  </si>
  <si>
    <t xml:space="preserve">Divergência de R$ 29.567,64 entre o principal do ofício (R$ 1.857.054,00) e o do demonstrativo (R$ 1.827.486,36), sem memória de rateio explícita</t>
  </si>
  <si>
    <t xml:space="preserve">Dados bancários constam apenas dos dois advogados; não há conta informada para o espólio</t>
  </si>
  <si>
    <t xml:space="preserve">Não há indicação de conta de pagamento do CEJUR/PGE</t>
  </si>
  <si>
    <t xml:space="preserve">Códigos de autenticação não validados junto ao portal do TJRJ</t>
  </si>
  <si>
    <t xml:space="preserve">Prazo</t>
  </si>
  <si>
    <t xml:space="preserve">25/08/2025 — manifestação de interesse no acordo direto e juntada do demonstrativo com deságio (item 5.1.4 do Edital 1/2025)</t>
  </si>
  <si>
    <t xml:space="preserve">31/12/2025 — pagamento em caso de acordo homologado</t>
  </si>
  <si>
    <t xml:space="preserve">Obrigação</t>
  </si>
  <si>
    <t xml:space="preserve">Protocolo do requerimento de acordo exclusivamente por meio eletrônico no sítio da PGE-RJ (item 4.3 do edital)</t>
  </si>
  <si>
    <t xml:space="preserve">Juntada do demonstrativo de cálculo com deságio</t>
  </si>
  <si>
    <t xml:space="preserve">Retenção de IR na fonte sobre o pagamento</t>
  </si>
  <si>
    <t xml:space="preserve">Recolhimento previdenciário de R$ 56.103,77 ao Rio Previdência</t>
  </si>
  <si>
    <t xml:space="preserve">Reserva de R$ 290.763,86 ao CEJUR/PGE antes do pagamento ao exequente</t>
  </si>
  <si>
    <t xml:space="preserve">Oportunidade</t>
  </si>
  <si>
    <t xml:space="preserve">Liquidez imediata: R$ 2.676.563,08 com pagamento garantido até 31/12/2025</t>
  </si>
  <si>
    <t xml:space="preserve">Natureza alimentícia confere preferência constitucional sobre precatórios comuns</t>
  </si>
  <si>
    <t xml:space="preserve">Valor homologado pela própria PGE após análise da ACPC, reduzindo risco de impugnação</t>
  </si>
  <si>
    <t xml:space="preserve">Honorários dos dois advogados são créditos autônomos, negociáveis separadamente</t>
  </si>
  <si>
    <t xml:space="preserve">Crédito adicional futuro dos herdeiros de Theresa Idalina no mesmo processo</t>
  </si>
  <si>
    <t xml:space="preserve">Decisão necessária</t>
  </si>
  <si>
    <t xml:space="preserve">Aderir ou não ao acordo direto até 25/08/2025 — 40% de deságio contra tempo de espera na fila</t>
  </si>
  <si>
    <t xml:space="preserve">Definir se a adesão será conjunta ou individual por beneficiário</t>
  </si>
  <si>
    <t xml:space="preserve">Regularizar a pendência documental da certidão de 07/03/2025</t>
  </si>
  <si>
    <t xml:space="preserve">Avaliar a representação do espólio para fins de levantamento</t>
  </si>
  <si>
    <t xml:space="preserve">Ação sugerida</t>
  </si>
  <si>
    <t xml:space="preserve">Confirmar no Portal de Precatórios do TJRJ a posição na ordem cronológica e o exercício orçamentário</t>
  </si>
  <si>
    <t xml:space="preserve">Verificar penhora, cessão a terceiros ou compensação tributária sobre o crédito</t>
  </si>
  <si>
    <t xml:space="preserve">Consultar o inteiro teor do Edital 1/2025 na aba Consultas - Acordo Direto</t>
  </si>
  <si>
    <t xml:space="preserve">Sanar a pendência documental junto à 9ª Vara da Fazenda Pública</t>
  </si>
  <si>
    <t xml:space="preserve">Validar os códigos 46SH.NHZQ.FXRM.X874 e 4R2W.DASA.7JLK.T774 em www.tjrj.jus.br</t>
  </si>
  <si>
    <t xml:space="preserve">Acompanhar o trânsito em julgado da decisão Id 2176</t>
  </si>
  <si>
    <t xml:space="preserve">Conflito de extração</t>
  </si>
  <si>
    <t xml:space="preserve">beneficiarios.valor_total (ALLAN JAMMEL SOARES DA SILVA) — escolhido: R$ 440.463,45 | alternativas: {'valor': 'R$ 440.463,46', 'paginas': '2-2'} | {'valor': 'R$ 440.463,45', 'paginas': '26-26'}</t>
  </si>
  <si>
    <t xml:space="preserve">valores.valor_principal — escolhido: R$ 1.857.054,00 | alternativas: {'valor': 'R$ 1.857.054,00', 'paginas': '2-2'} | {'valor': 'R$ 1.827.486,36', 'paginas': '28-28'}</t>
  </si>
  <si>
    <t xml:space="preserve">RESUMO DA TRIAGEM</t>
  </si>
  <si>
    <t xml:space="preserve">Precatórios na base</t>
  </si>
  <si>
    <t xml:space="preserve">Classificados APROVAR</t>
  </si>
  <si>
    <t xml:space="preserve">Classificados REVISAR</t>
  </si>
  <si>
    <t xml:space="preserve">Classificados DESCARTAR</t>
  </si>
  <si>
    <t xml:space="preserve">Selecionados p/ pré-DD (SIM)</t>
  </si>
  <si>
    <t xml:space="preserve">Recusados (NÃO)</t>
  </si>
  <si>
    <t xml:space="preserve">Ainda pendentes</t>
  </si>
  <si>
    <t xml:space="preserve">Valor atualizado — carteira total</t>
  </si>
  <si>
    <t xml:space="preserve">Valor líquido — carteira total</t>
  </si>
  <si>
    <t xml:space="preserve">Valor atualizado — selecionados</t>
  </si>
  <si>
    <t xml:space="preserve">Valor líquido — selecionados</t>
  </si>
  <si>
    <t xml:space="preserve">Score médio da base</t>
  </si>
  <si>
    <t xml:space="preserve">Maior score</t>
  </si>
  <si>
    <t xml:space="preserve">Campo</t>
  </si>
  <si>
    <t xml:space="preserve">Aba</t>
  </si>
  <si>
    <t xml:space="preserve">Definição</t>
  </si>
  <si>
    <t xml:space="preserve">Triagem</t>
  </si>
  <si>
    <t xml:space="preserve">Valor do ofício requisitório na data-base, antes de atualização.</t>
  </si>
  <si>
    <t xml:space="preserve">Soma dos valores atualizados de todos os beneficiários na última data de cálculo do documento.</t>
  </si>
  <si>
    <t xml:space="preserve">Percentual de desconto do edital de acordo direto, quando houver.</t>
  </si>
  <si>
    <t xml:space="preserve">Fórmula: Valor Atualizado × (1 − Deságio).</t>
  </si>
  <si>
    <t xml:space="preserve">Percentual dos 16 campos essenciais localizados no documento. Abaixo de 70% o registro merece releitura.</t>
  </si>
  <si>
    <t xml:space="preserve">MIN(10; Valor Atualizado ÷ valor de referência × 10).</t>
  </si>
  <si>
    <t xml:space="preserve">Parte de 10 e desconta ausência de trânsito em julgado, ausência de número de precatório e pendências.</t>
  </si>
  <si>
    <t xml:space="preserve">7 se alimentícia, 3 se comum; +3 com superpreferência.</t>
  </si>
  <si>
    <t xml:space="preserve">10 − (deságio × 10) quando há janela de acordo; 6 com edital sem prazo; 4 sem janela.</t>
  </si>
  <si>
    <t xml:space="preserve">Cobertura da extração × 10.</t>
  </si>
  <si>
    <t xml:space="preserve">Média das cinco notas ponderada pelos pesos da aba Parâmetros, em escala de 0 a 100.</t>
  </si>
  <si>
    <t xml:space="preserve">APROVAR, REVISAR ou DESCARTAR conforme os cortes da aba Parâmetros. É sugestão, não decisão.</t>
  </si>
  <si>
    <t xml:space="preserve">SUA decisão: SIM, NÃO ou PENDENTE. Alimenta os totais da aba Resumo.</t>
  </si>
  <si>
    <t xml:space="preserve">Consistencia</t>
  </si>
  <si>
    <t xml:space="preserve">OK = a conta do documento fecha. DIVERGENTE = confira antes de avançar. NAO_APLICAVEL = faltou dado.</t>
  </si>
  <si>
    <t xml:space="preserve">Riscos_Pendencias</t>
  </si>
  <si>
    <t xml:space="preserve">Campo com mais de um valor candidato no documento. Mostra o escolhido e as alternativas.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</si>
</sst>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0.0%"/>
    <numFmt numFmtId="167" formatCode="0.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FF7"/>
        <bgColor rgb="FFFFFFFF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F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8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5" min="24" style="0" width="10"/>
    <col collapsed="false" customWidth="true" hidden="false" outlineLevel="0" max="27" min="26" style="0" width="15"/>
    <col collapsed="false" customWidth="true" hidden="false" outlineLevel="0" max="28" min="28" style="0" width="16"/>
    <col collapsed="false" customWidth="true" hidden="false" outlineLevel="0" max="29" min="29" style="0" width="4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customFormat="false" ht="15" hidden="false" customHeight="false" outlineLevel="0" collapsed="false">
      <c r="A5" s="4" t="n">
        <v>1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n">
        <v>3</v>
      </c>
      <c r="I5" s="4" t="s">
        <v>37</v>
      </c>
      <c r="J5" s="4" t="s">
        <v>38</v>
      </c>
      <c r="K5" s="5" t="n">
        <v>3523707.62</v>
      </c>
      <c r="L5" s="5" t="n">
        <v>4460938.48</v>
      </c>
      <c r="M5" s="6" t="n">
        <v>0.4</v>
      </c>
      <c r="N5" s="7" t="n">
        <f aca="false">IF(OR($L5="",$M5=""),"",$L5*(1-$M5))</f>
        <v>2676563.088</v>
      </c>
      <c r="O5" s="4" t="s">
        <v>39</v>
      </c>
      <c r="P5" s="4" t="s">
        <v>40</v>
      </c>
      <c r="Q5" s="4" t="n">
        <v>6</v>
      </c>
      <c r="R5" s="4" t="n">
        <v>5</v>
      </c>
      <c r="S5" s="6" t="n">
        <v>1</v>
      </c>
      <c r="T5" s="8" t="n">
        <f aca="false">IF($L5="",0,MIN(10,$L5/Parametros!$B$10*10))</f>
        <v>8.92187696</v>
      </c>
      <c r="U5" s="8" t="n">
        <f aca="false">MAX(0,10-IF($J5="",Parametros!$B$14,0)-IF($B5="",Parametros!$B$15,0)-MIN(3,$Q5*Parametros!$B$13))</f>
        <v>7</v>
      </c>
      <c r="V5" s="8" t="n">
        <f aca="false">MIN(10,IF(ISNUMBER(SEARCH("ALIMENT",$F5)),7,3)+IF($P5="SIM",3,0))</f>
        <v>7</v>
      </c>
      <c r="W5" s="8" t="n">
        <f aca="false">IF(AND($O5&lt;&gt;"",$M5&lt;&gt;""),MAX(0,10-$M5*10),IF($O5&lt;&gt;"",6,4))</f>
        <v>6</v>
      </c>
      <c r="X5" s="8" t="n">
        <f aca="false">$S5*10</f>
        <v>10</v>
      </c>
      <c r="Y5" s="9" t="n">
        <f aca="false">($T5*Parametros!$B$5+$U5*Parametros!$B$6+$V5*Parametros!$B$7+$W5*Parametros!$B$8+$X5*Parametros!$B$9)/10</f>
        <v>78.76563088</v>
      </c>
      <c r="Z5" s="10" t="str">
        <f aca="false">IF($Y5&gt;=Parametros!$B$11,"APROVAR",IF($Y5&gt;=Parametros!$B$12,"REVISAR","DESCARTAR"))</f>
        <v>APROVAR</v>
      </c>
      <c r="AA5" s="11" t="s">
        <v>41</v>
      </c>
      <c r="AB5" s="12"/>
      <c r="AC5" s="12"/>
    </row>
  </sheetData>
  <autoFilter ref="A4:AC5"/>
  <mergeCells count="1">
    <mergeCell ref="A2:H2"/>
  </mergeCells>
  <conditionalFormatting sqref="Z5">
    <cfRule type="cellIs" priority="2" operator="equal" aboveAverage="0" equalAverage="0" bottom="0" percent="0" rank="0" text="" dxfId="6">
      <formula>"APROVAR"</formula>
    </cfRule>
    <cfRule type="cellIs" priority="3" operator="equal" aboveAverage="0" equalAverage="0" bottom="0" percent="0" rank="0" text="" dxfId="7">
      <formula>"REVISAR"</formula>
    </cfRule>
    <cfRule type="cellIs" priority="4" operator="equal" aboveAverage="0" equalAverage="0" bottom="0" percent="0" rank="0" text="" dxfId="8">
      <formula>"DESCARTAR"</formula>
    </cfRule>
  </conditionalFormatting>
  <conditionalFormatting sqref="AA5:AA205">
    <cfRule type="cellIs" priority="5" operator="equal" aboveAverage="0" equalAverage="0" bottom="0" percent="0" rank="0" text="" dxfId="6">
      <formula>"SIM"</formula>
    </cfRule>
  </conditionalFormatting>
  <dataValidations count="1">
    <dataValidation allowBlank="true" error="Escolha SIM, NÃO ou PENDENTE." errorStyle="stop" operator="between" prompt="Este precatório segue para pré-due-diligence?" showDropDown="false" showErrorMessage="false" showInputMessage="false" sqref="AA5:AA205" type="list">
      <formula1>"SIM,NÃO,PENDENTE"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8"/>
  </cols>
  <sheetData>
    <row r="1" customFormat="false" ht="16.15" hidden="false" customHeight="false" outlineLevel="0" collapsed="false">
      <c r="A1" s="13" t="s">
        <v>42</v>
      </c>
    </row>
    <row r="2" customFormat="false" ht="42" hidden="false" customHeight="true" outlineLevel="0" collapsed="false">
      <c r="A2" s="2" t="s">
        <v>43</v>
      </c>
      <c r="B2" s="2"/>
      <c r="C2" s="2"/>
    </row>
    <row r="4" customFormat="false" ht="33.75" hidden="false" customHeight="true" outlineLevel="0" collapsed="false">
      <c r="A4" s="3" t="s">
        <v>44</v>
      </c>
      <c r="B4" s="3" t="s">
        <v>45</v>
      </c>
      <c r="C4" s="3" t="s">
        <v>46</v>
      </c>
    </row>
    <row r="5" customFormat="false" ht="15" hidden="false" customHeight="false" outlineLevel="0" collapsed="false">
      <c r="A5" s="4" t="s">
        <v>47</v>
      </c>
      <c r="B5" s="12" t="n">
        <v>30</v>
      </c>
      <c r="C5" s="4" t="s">
        <v>48</v>
      </c>
    </row>
    <row r="6" customFormat="false" ht="15" hidden="false" customHeight="false" outlineLevel="0" collapsed="false">
      <c r="A6" s="4" t="s">
        <v>49</v>
      </c>
      <c r="B6" s="12" t="n">
        <v>25</v>
      </c>
      <c r="C6" s="4" t="s">
        <v>50</v>
      </c>
    </row>
    <row r="7" customFormat="false" ht="15" hidden="false" customHeight="false" outlineLevel="0" collapsed="false">
      <c r="A7" s="4" t="s">
        <v>51</v>
      </c>
      <c r="B7" s="12" t="n">
        <v>15</v>
      </c>
      <c r="C7" s="4" t="s">
        <v>52</v>
      </c>
    </row>
    <row r="8" customFormat="false" ht="15" hidden="false" customHeight="false" outlineLevel="0" collapsed="false">
      <c r="A8" s="4" t="s">
        <v>53</v>
      </c>
      <c r="B8" s="12" t="n">
        <v>15</v>
      </c>
      <c r="C8" s="4" t="s">
        <v>54</v>
      </c>
    </row>
    <row r="9" customFormat="false" ht="15" hidden="false" customHeight="false" outlineLevel="0" collapsed="false">
      <c r="A9" s="4" t="s">
        <v>55</v>
      </c>
      <c r="B9" s="12" t="n">
        <v>15</v>
      </c>
      <c r="C9" s="4" t="s">
        <v>56</v>
      </c>
    </row>
    <row r="10" customFormat="false" ht="15" hidden="false" customHeight="false" outlineLevel="0" collapsed="false">
      <c r="A10" s="4" t="s">
        <v>57</v>
      </c>
      <c r="B10" s="14" t="n">
        <v>5000000</v>
      </c>
      <c r="C10" s="4" t="s">
        <v>58</v>
      </c>
    </row>
    <row r="11" customFormat="false" ht="15" hidden="false" customHeight="false" outlineLevel="0" collapsed="false">
      <c r="A11" s="4" t="s">
        <v>59</v>
      </c>
      <c r="B11" s="12" t="n">
        <v>70</v>
      </c>
      <c r="C11" s="4" t="s">
        <v>60</v>
      </c>
    </row>
    <row r="12" customFormat="false" ht="15" hidden="false" customHeight="false" outlineLevel="0" collapsed="false">
      <c r="A12" s="4" t="s">
        <v>61</v>
      </c>
      <c r="B12" s="12" t="n">
        <v>45</v>
      </c>
      <c r="C12" s="4" t="s">
        <v>62</v>
      </c>
    </row>
    <row r="13" customFormat="false" ht="15" hidden="false" customHeight="false" outlineLevel="0" collapsed="false">
      <c r="A13" s="4" t="s">
        <v>63</v>
      </c>
      <c r="B13" s="12" t="n">
        <v>0.5</v>
      </c>
      <c r="C13" s="4" t="s">
        <v>64</v>
      </c>
    </row>
    <row r="14" customFormat="false" ht="15" hidden="false" customHeight="false" outlineLevel="0" collapsed="false">
      <c r="A14" s="4" t="s">
        <v>65</v>
      </c>
      <c r="B14" s="12" t="n">
        <v>4</v>
      </c>
      <c r="C14" s="4" t="s">
        <v>66</v>
      </c>
    </row>
    <row r="15" customFormat="false" ht="15" hidden="false" customHeight="false" outlineLevel="0" collapsed="false">
      <c r="A15" s="4" t="s">
        <v>67</v>
      </c>
      <c r="B15" s="12" t="n">
        <v>3</v>
      </c>
      <c r="C15" s="4" t="s">
        <v>66</v>
      </c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 t="s">
        <v>68</v>
      </c>
      <c r="B17" s="4" t="n">
        <f aca="false">SUM(B5:B9)</f>
        <v>100</v>
      </c>
      <c r="C17" s="4" t="s">
        <v>69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17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24"/>
    <col collapsed="false" customWidth="true" hidden="false" outlineLevel="0" max="14" min="14" style="0" width="11"/>
    <col collapsed="false" customWidth="true" hidden="false" outlineLevel="0" max="15" min="15" style="0" width="13"/>
  </cols>
  <sheetData>
    <row r="1" customFormat="false" ht="33.75" hidden="false" customHeight="true" outlineLevel="0" collapsed="false">
      <c r="A1" s="3" t="s">
        <v>3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13</v>
      </c>
      <c r="K1" s="3" t="s">
        <v>14</v>
      </c>
      <c r="L1" s="3" t="s">
        <v>78</v>
      </c>
      <c r="M1" s="3" t="s">
        <v>79</v>
      </c>
      <c r="N1" s="3" t="s">
        <v>80</v>
      </c>
      <c r="O1" s="3" t="s">
        <v>81</v>
      </c>
    </row>
    <row r="2" customFormat="false" ht="15" hidden="false" customHeight="false" outlineLevel="0" collapsed="false">
      <c r="A2" s="4" t="s">
        <v>31</v>
      </c>
      <c r="B2" s="4" t="s">
        <v>36</v>
      </c>
      <c r="C2" s="4" t="s">
        <v>82</v>
      </c>
      <c r="D2" s="4" t="s">
        <v>83</v>
      </c>
      <c r="E2" s="4"/>
      <c r="F2" s="6"/>
      <c r="G2" s="5" t="n">
        <v>1827486.36</v>
      </c>
      <c r="H2" s="5" t="n">
        <v>1640117.49</v>
      </c>
      <c r="I2" s="5" t="n">
        <v>3467603.85</v>
      </c>
      <c r="J2" s="5" t="n">
        <v>3253014.7</v>
      </c>
      <c r="K2" s="6" t="n">
        <v>0.4</v>
      </c>
      <c r="L2" s="7" t="n">
        <f aca="false">IF(OR(J2="",K2=""),"",J2*(1-K2))</f>
        <v>1951808.82</v>
      </c>
      <c r="M2" s="4"/>
      <c r="N2" s="4"/>
      <c r="O2" s="4"/>
    </row>
    <row r="3" customFormat="false" ht="23.85" hidden="false" customHeight="false" outlineLevel="0" collapsed="false">
      <c r="A3" s="4" t="s">
        <v>31</v>
      </c>
      <c r="B3" s="4" t="s">
        <v>84</v>
      </c>
      <c r="C3" s="4" t="s">
        <v>85</v>
      </c>
      <c r="D3" s="4" t="s">
        <v>86</v>
      </c>
      <c r="E3" s="4" t="s">
        <v>87</v>
      </c>
      <c r="F3" s="6" t="n">
        <v>0.125</v>
      </c>
      <c r="G3" s="5" t="n">
        <v>232131.75</v>
      </c>
      <c r="H3" s="5" t="n">
        <v>208331.7</v>
      </c>
      <c r="I3" s="5" t="n">
        <v>440463.45</v>
      </c>
      <c r="J3" s="5" t="n">
        <v>603961.89</v>
      </c>
      <c r="K3" s="6" t="n">
        <v>0.4</v>
      </c>
      <c r="L3" s="7" t="n">
        <f aca="false">IF(OR(J3="",K3=""),"",J3*(1-K3))</f>
        <v>362377.134</v>
      </c>
      <c r="M3" s="4" t="s">
        <v>88</v>
      </c>
      <c r="N3" s="4" t="s">
        <v>89</v>
      </c>
      <c r="O3" s="4" t="s">
        <v>90</v>
      </c>
    </row>
    <row r="4" customFormat="false" ht="23.85" hidden="false" customHeight="false" outlineLevel="0" collapsed="false">
      <c r="A4" s="4" t="s">
        <v>31</v>
      </c>
      <c r="B4" s="4" t="s">
        <v>91</v>
      </c>
      <c r="C4" s="4" t="s">
        <v>85</v>
      </c>
      <c r="D4" s="4" t="s">
        <v>92</v>
      </c>
      <c r="E4" s="4" t="s">
        <v>93</v>
      </c>
      <c r="F4" s="6" t="n">
        <v>0.125</v>
      </c>
      <c r="G4" s="5" t="n">
        <v>232131.75</v>
      </c>
      <c r="H4" s="5" t="n">
        <v>208331.7</v>
      </c>
      <c r="I4" s="5" t="n">
        <v>440463.45</v>
      </c>
      <c r="J4" s="5" t="n">
        <v>603961.89</v>
      </c>
      <c r="K4" s="6" t="n">
        <v>0.4</v>
      </c>
      <c r="L4" s="7" t="n">
        <f aca="false">IF(OR(J4="",K4=""),"",J4*(1-K4))</f>
        <v>362377.134</v>
      </c>
      <c r="M4" s="4" t="s">
        <v>94</v>
      </c>
      <c r="N4" s="4" t="s">
        <v>95</v>
      </c>
      <c r="O4" s="4" t="s">
        <v>96</v>
      </c>
    </row>
    <row r="5" customFormat="false" ht="15" hidden="false" customHeight="false" outlineLevel="0" collapsed="false">
      <c r="A5" s="4"/>
      <c r="B5" s="4" t="s">
        <v>97</v>
      </c>
      <c r="C5" s="4"/>
      <c r="D5" s="4"/>
      <c r="E5" s="4"/>
      <c r="F5" s="4"/>
      <c r="G5" s="5" t="n">
        <f aca="false">SUM(G2:G4)</f>
        <v>2291749.86</v>
      </c>
      <c r="H5" s="5" t="n">
        <f aca="false">SUM(H2:H4)</f>
        <v>2056780.89</v>
      </c>
      <c r="I5" s="5" t="n">
        <f aca="false">SUM(I2:I4)</f>
        <v>4348530.75</v>
      </c>
      <c r="J5" s="5" t="n">
        <f aca="false">SUM(J2:J4)</f>
        <v>4460938.48</v>
      </c>
      <c r="K5" s="4"/>
      <c r="L5" s="5" t="n">
        <f aca="false">SUM(L2:L4)</f>
        <v>2676563.088</v>
      </c>
      <c r="M5" s="4"/>
      <c r="N5" s="4"/>
      <c r="O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8"/>
    <col collapsed="false" customWidth="true" hidden="false" outlineLevel="0" max="7" min="7" style="0" width="30"/>
    <col collapsed="false" customWidth="true" hidden="false" outlineLevel="0" max="8" min="8" style="0" width="46"/>
    <col collapsed="false" customWidth="true" hidden="false" outlineLevel="0" max="9" min="9" style="0" width="60"/>
  </cols>
  <sheetData>
    <row r="1" customFormat="false" ht="33.75" hidden="false" customHeight="true" outlineLevel="0" collapsed="false">
      <c r="A1" s="3" t="s">
        <v>3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30</v>
      </c>
    </row>
    <row r="2" customFormat="false" ht="46.25" hidden="false" customHeight="false" outlineLevel="0" collapsed="false">
      <c r="A2" s="4" t="s">
        <v>31</v>
      </c>
      <c r="B2" s="5" t="n">
        <v>3523707.62</v>
      </c>
      <c r="C2" s="5" t="n">
        <v>1857054</v>
      </c>
      <c r="D2" s="5" t="n">
        <v>1666653.62</v>
      </c>
      <c r="E2" s="5" t="n">
        <v>880926.9</v>
      </c>
      <c r="F2" s="5" t="n">
        <v>56103.77</v>
      </c>
      <c r="G2" s="4" t="s">
        <v>105</v>
      </c>
      <c r="H2" s="4" t="s">
        <v>106</v>
      </c>
      <c r="I2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3" t="s">
        <v>3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</row>
    <row r="2" customFormat="false" ht="15" hidden="false" customHeight="false" outlineLevel="0" collapsed="false">
      <c r="A2" s="4" t="s">
        <v>31</v>
      </c>
      <c r="B2" s="4" t="s">
        <v>113</v>
      </c>
      <c r="C2" s="4" t="s">
        <v>114</v>
      </c>
      <c r="D2" s="4" t="s">
        <v>115</v>
      </c>
      <c r="E2" s="5" t="n">
        <v>0</v>
      </c>
      <c r="F2" s="4"/>
    </row>
    <row r="3" customFormat="false" ht="15" hidden="false" customHeight="false" outlineLevel="0" collapsed="false">
      <c r="A3" s="4" t="s">
        <v>31</v>
      </c>
      <c r="B3" s="4" t="s">
        <v>116</v>
      </c>
      <c r="C3" s="4" t="s">
        <v>117</v>
      </c>
      <c r="D3" s="4" t="s">
        <v>115</v>
      </c>
      <c r="E3" s="5" t="n">
        <v>0</v>
      </c>
      <c r="F3" s="4"/>
    </row>
    <row r="4" customFormat="false" ht="15" hidden="false" customHeight="false" outlineLevel="0" collapsed="false">
      <c r="A4" s="4" t="s">
        <v>31</v>
      </c>
      <c r="B4" s="4" t="s">
        <v>118</v>
      </c>
      <c r="C4" s="4" t="s">
        <v>119</v>
      </c>
      <c r="D4" s="4" t="s">
        <v>115</v>
      </c>
      <c r="E4" s="5" t="n">
        <v>0</v>
      </c>
      <c r="F4" s="4"/>
    </row>
    <row r="5" customFormat="false" ht="15" hidden="false" customHeight="false" outlineLevel="0" collapsed="false">
      <c r="A5" s="4" t="s">
        <v>31</v>
      </c>
      <c r="B5" s="4" t="s">
        <v>120</v>
      </c>
      <c r="C5" s="4" t="s">
        <v>121</v>
      </c>
      <c r="D5" s="4" t="s">
        <v>115</v>
      </c>
      <c r="E5" s="5" t="n">
        <v>0</v>
      </c>
      <c r="F5" s="4"/>
    </row>
    <row r="6" customFormat="false" ht="15" hidden="false" customHeight="false" outlineLevel="0" collapsed="false">
      <c r="A6" s="4" t="s">
        <v>31</v>
      </c>
      <c r="B6" s="4" t="s">
        <v>122</v>
      </c>
      <c r="C6" s="4" t="s">
        <v>123</v>
      </c>
      <c r="D6" s="4" t="s">
        <v>115</v>
      </c>
      <c r="E6" s="5" t="n">
        <v>0</v>
      </c>
      <c r="F6" s="4"/>
    </row>
    <row r="7" customFormat="false" ht="15" hidden="false" customHeight="false" outlineLevel="0" collapsed="false">
      <c r="A7" s="4" t="s">
        <v>31</v>
      </c>
      <c r="B7" s="4" t="s">
        <v>124</v>
      </c>
      <c r="C7" s="4" t="s">
        <v>125</v>
      </c>
      <c r="D7" s="4" t="s">
        <v>115</v>
      </c>
      <c r="E7" s="5" t="n">
        <v>0</v>
      </c>
      <c r="F7" s="4"/>
    </row>
    <row r="8" customFormat="false" ht="15" hidden="false" customHeight="false" outlineLevel="0" collapsed="false">
      <c r="A8" s="4" t="s">
        <v>31</v>
      </c>
      <c r="B8" s="4" t="s">
        <v>126</v>
      </c>
      <c r="C8" s="4" t="s">
        <v>125</v>
      </c>
      <c r="D8" s="4" t="s">
        <v>115</v>
      </c>
      <c r="E8" s="5" t="n">
        <v>0</v>
      </c>
      <c r="F8" s="4"/>
    </row>
    <row r="9" customFormat="false" ht="15" hidden="false" customHeight="false" outlineLevel="0" collapsed="false">
      <c r="A9" s="4" t="s">
        <v>31</v>
      </c>
      <c r="B9" s="4" t="s">
        <v>127</v>
      </c>
      <c r="C9" s="4" t="s">
        <v>125</v>
      </c>
      <c r="D9" s="4" t="s">
        <v>115</v>
      </c>
      <c r="E9" s="5" t="n">
        <v>0</v>
      </c>
      <c r="F9" s="4"/>
    </row>
    <row r="10" customFormat="false" ht="23.85" hidden="false" customHeight="false" outlineLevel="0" collapsed="false">
      <c r="A10" s="4" t="s">
        <v>31</v>
      </c>
      <c r="B10" s="4" t="s">
        <v>128</v>
      </c>
      <c r="C10" s="4" t="s">
        <v>129</v>
      </c>
      <c r="D10" s="4" t="s">
        <v>130</v>
      </c>
      <c r="E10" s="5" t="n">
        <v>-56103.75</v>
      </c>
      <c r="F10" s="4" t="s">
        <v>131</v>
      </c>
    </row>
  </sheetData>
  <conditionalFormatting sqref="D2:D10">
    <cfRule type="cellIs" priority="2" operator="equal" aboveAverage="0" equalAverage="0" bottom="0" percent="0" rank="0" text="" dxfId="6">
      <formula>"OK"</formula>
    </cfRule>
    <cfRule type="cellIs" priority="3" operator="equal" aboveAverage="0" equalAverage="0" bottom="0" percent="0" rank="0" text="" dxfId="8">
      <formula>"DIVERGENTE"</formula>
    </cfRule>
    <cfRule type="cellIs" priority="4" operator="equal" aboveAverage="0" equalAverage="0" bottom="0" percent="0" rank="0" text="" dxfId="7">
      <formula>"NAO_APLICAVEL"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10"/>
    <col collapsed="false" customWidth="true" hidden="false" outlineLevel="0" max="4" min="4" style="0" width="12"/>
  </cols>
  <sheetData>
    <row r="1" customFormat="false" ht="33.75" hidden="false" customHeight="true" outlineLevel="0" collapsed="false">
      <c r="A1" s="3" t="s">
        <v>3</v>
      </c>
      <c r="B1" s="3" t="s">
        <v>132</v>
      </c>
      <c r="C1" s="3" t="s">
        <v>133</v>
      </c>
      <c r="D1" s="3" t="s">
        <v>134</v>
      </c>
    </row>
    <row r="2" customFormat="false" ht="15" hidden="false" customHeight="false" outlineLevel="0" collapsed="false">
      <c r="A2" s="4" t="s">
        <v>31</v>
      </c>
      <c r="B2" s="4" t="s">
        <v>135</v>
      </c>
      <c r="C2" s="4" t="s">
        <v>136</v>
      </c>
      <c r="D2" s="12" t="s">
        <v>40</v>
      </c>
    </row>
    <row r="3" customFormat="false" ht="15" hidden="false" customHeight="false" outlineLevel="0" collapsed="false">
      <c r="A3" s="4" t="s">
        <v>31</v>
      </c>
      <c r="B3" s="4" t="s">
        <v>135</v>
      </c>
      <c r="C3" s="4" t="s">
        <v>137</v>
      </c>
      <c r="D3" s="12" t="s">
        <v>40</v>
      </c>
    </row>
    <row r="4" customFormat="false" ht="15" hidden="false" customHeight="false" outlineLevel="0" collapsed="false">
      <c r="A4" s="4" t="s">
        <v>31</v>
      </c>
      <c r="B4" s="4" t="s">
        <v>135</v>
      </c>
      <c r="C4" s="4" t="s">
        <v>138</v>
      </c>
      <c r="D4" s="12" t="s">
        <v>40</v>
      </c>
    </row>
    <row r="5" customFormat="false" ht="15" hidden="false" customHeight="false" outlineLevel="0" collapsed="false">
      <c r="A5" s="4" t="s">
        <v>31</v>
      </c>
      <c r="B5" s="4" t="s">
        <v>135</v>
      </c>
      <c r="C5" s="4" t="s">
        <v>139</v>
      </c>
      <c r="D5" s="12" t="s">
        <v>40</v>
      </c>
    </row>
    <row r="6" customFormat="false" ht="15" hidden="false" customHeight="false" outlineLevel="0" collapsed="false">
      <c r="A6" s="4" t="s">
        <v>31</v>
      </c>
      <c r="B6" s="4" t="s">
        <v>135</v>
      </c>
      <c r="C6" s="4" t="s">
        <v>140</v>
      </c>
      <c r="D6" s="12" t="s">
        <v>40</v>
      </c>
    </row>
    <row r="7" customFormat="false" ht="15" hidden="false" customHeight="false" outlineLevel="0" collapsed="false">
      <c r="A7" s="4" t="s">
        <v>31</v>
      </c>
      <c r="B7" s="4" t="s">
        <v>141</v>
      </c>
      <c r="C7" s="4" t="s">
        <v>142</v>
      </c>
      <c r="D7" s="12" t="s">
        <v>40</v>
      </c>
    </row>
    <row r="8" customFormat="false" ht="15" hidden="false" customHeight="false" outlineLevel="0" collapsed="false">
      <c r="A8" s="4" t="s">
        <v>31</v>
      </c>
      <c r="B8" s="4" t="s">
        <v>141</v>
      </c>
      <c r="C8" s="4" t="s">
        <v>143</v>
      </c>
      <c r="D8" s="12" t="s">
        <v>40</v>
      </c>
    </row>
    <row r="9" customFormat="false" ht="15" hidden="false" customHeight="false" outlineLevel="0" collapsed="false">
      <c r="A9" s="4" t="s">
        <v>31</v>
      </c>
      <c r="B9" s="4" t="s">
        <v>141</v>
      </c>
      <c r="C9" s="4" t="s">
        <v>144</v>
      </c>
      <c r="D9" s="12" t="s">
        <v>40</v>
      </c>
    </row>
    <row r="10" customFormat="false" ht="15" hidden="false" customHeight="false" outlineLevel="0" collapsed="false">
      <c r="A10" s="4" t="s">
        <v>31</v>
      </c>
      <c r="B10" s="4" t="s">
        <v>141</v>
      </c>
      <c r="C10" s="4" t="s">
        <v>145</v>
      </c>
      <c r="D10" s="12" t="s">
        <v>40</v>
      </c>
    </row>
    <row r="11" customFormat="false" ht="15" hidden="false" customHeight="false" outlineLevel="0" collapsed="false">
      <c r="A11" s="4" t="s">
        <v>31</v>
      </c>
      <c r="B11" s="4" t="s">
        <v>141</v>
      </c>
      <c r="C11" s="4" t="s">
        <v>146</v>
      </c>
      <c r="D11" s="12" t="s">
        <v>40</v>
      </c>
    </row>
    <row r="12" customFormat="false" ht="15" hidden="false" customHeight="false" outlineLevel="0" collapsed="false">
      <c r="A12" s="4" t="s">
        <v>31</v>
      </c>
      <c r="B12" s="4" t="s">
        <v>141</v>
      </c>
      <c r="C12" s="4" t="s">
        <v>147</v>
      </c>
      <c r="D12" s="12" t="s">
        <v>40</v>
      </c>
    </row>
    <row r="13" customFormat="false" ht="15" hidden="false" customHeight="false" outlineLevel="0" collapsed="false">
      <c r="A13" s="4" t="s">
        <v>31</v>
      </c>
      <c r="B13" s="4" t="s">
        <v>148</v>
      </c>
      <c r="C13" s="4" t="s">
        <v>149</v>
      </c>
      <c r="D13" s="12" t="s">
        <v>40</v>
      </c>
    </row>
    <row r="14" customFormat="false" ht="15" hidden="false" customHeight="false" outlineLevel="0" collapsed="false">
      <c r="A14" s="4" t="s">
        <v>31</v>
      </c>
      <c r="B14" s="4" t="s">
        <v>148</v>
      </c>
      <c r="C14" s="4" t="s">
        <v>150</v>
      </c>
      <c r="D14" s="12" t="s">
        <v>40</v>
      </c>
    </row>
    <row r="15" customFormat="false" ht="15" hidden="false" customHeight="false" outlineLevel="0" collapsed="false">
      <c r="A15" s="4" t="s">
        <v>31</v>
      </c>
      <c r="B15" s="4" t="s">
        <v>151</v>
      </c>
      <c r="C15" s="4" t="s">
        <v>152</v>
      </c>
      <c r="D15" s="12" t="s">
        <v>40</v>
      </c>
    </row>
    <row r="16" customFormat="false" ht="15" hidden="false" customHeight="false" outlineLevel="0" collapsed="false">
      <c r="A16" s="4" t="s">
        <v>31</v>
      </c>
      <c r="B16" s="4" t="s">
        <v>151</v>
      </c>
      <c r="C16" s="4" t="s">
        <v>153</v>
      </c>
      <c r="D16" s="12" t="s">
        <v>40</v>
      </c>
    </row>
    <row r="17" customFormat="false" ht="15" hidden="false" customHeight="false" outlineLevel="0" collapsed="false">
      <c r="A17" s="4" t="s">
        <v>31</v>
      </c>
      <c r="B17" s="4" t="s">
        <v>151</v>
      </c>
      <c r="C17" s="4" t="s">
        <v>154</v>
      </c>
      <c r="D17" s="12" t="s">
        <v>40</v>
      </c>
    </row>
    <row r="18" customFormat="false" ht="15" hidden="false" customHeight="false" outlineLevel="0" collapsed="false">
      <c r="A18" s="4" t="s">
        <v>31</v>
      </c>
      <c r="B18" s="4" t="s">
        <v>151</v>
      </c>
      <c r="C18" s="4" t="s">
        <v>155</v>
      </c>
      <c r="D18" s="12" t="s">
        <v>40</v>
      </c>
    </row>
    <row r="19" customFormat="false" ht="15" hidden="false" customHeight="false" outlineLevel="0" collapsed="false">
      <c r="A19" s="4" t="s">
        <v>31</v>
      </c>
      <c r="B19" s="4" t="s">
        <v>151</v>
      </c>
      <c r="C19" s="4" t="s">
        <v>156</v>
      </c>
      <c r="D19" s="12" t="s">
        <v>40</v>
      </c>
    </row>
    <row r="20" customFormat="false" ht="15" hidden="false" customHeight="false" outlineLevel="0" collapsed="false">
      <c r="A20" s="4" t="s">
        <v>31</v>
      </c>
      <c r="B20" s="4" t="s">
        <v>157</v>
      </c>
      <c r="C20" s="4" t="s">
        <v>158</v>
      </c>
      <c r="D20" s="12" t="s">
        <v>40</v>
      </c>
    </row>
    <row r="21" customFormat="false" ht="15" hidden="false" customHeight="false" outlineLevel="0" collapsed="false">
      <c r="A21" s="4" t="s">
        <v>31</v>
      </c>
      <c r="B21" s="4" t="s">
        <v>157</v>
      </c>
      <c r="C21" s="4" t="s">
        <v>159</v>
      </c>
      <c r="D21" s="12" t="s">
        <v>40</v>
      </c>
    </row>
    <row r="22" customFormat="false" ht="15" hidden="false" customHeight="false" outlineLevel="0" collapsed="false">
      <c r="A22" s="4" t="s">
        <v>31</v>
      </c>
      <c r="B22" s="4" t="s">
        <v>157</v>
      </c>
      <c r="C22" s="4" t="s">
        <v>160</v>
      </c>
      <c r="D22" s="12" t="s">
        <v>40</v>
      </c>
    </row>
    <row r="23" customFormat="false" ht="15" hidden="false" customHeight="false" outlineLevel="0" collapsed="false">
      <c r="A23" s="4" t="s">
        <v>31</v>
      </c>
      <c r="B23" s="4" t="s">
        <v>157</v>
      </c>
      <c r="C23" s="4" t="s">
        <v>161</v>
      </c>
      <c r="D23" s="12" t="s">
        <v>40</v>
      </c>
    </row>
    <row r="24" customFormat="false" ht="15" hidden="false" customHeight="false" outlineLevel="0" collapsed="false">
      <c r="A24" s="4" t="s">
        <v>31</v>
      </c>
      <c r="B24" s="4" t="s">
        <v>157</v>
      </c>
      <c r="C24" s="4" t="s">
        <v>162</v>
      </c>
      <c r="D24" s="12" t="s">
        <v>40</v>
      </c>
    </row>
    <row r="25" customFormat="false" ht="15" hidden="false" customHeight="false" outlineLevel="0" collapsed="false">
      <c r="A25" s="4" t="s">
        <v>31</v>
      </c>
      <c r="B25" s="4" t="s">
        <v>163</v>
      </c>
      <c r="C25" s="4" t="s">
        <v>164</v>
      </c>
      <c r="D25" s="12" t="s">
        <v>40</v>
      </c>
    </row>
    <row r="26" customFormat="false" ht="15" hidden="false" customHeight="false" outlineLevel="0" collapsed="false">
      <c r="A26" s="4" t="s">
        <v>31</v>
      </c>
      <c r="B26" s="4" t="s">
        <v>163</v>
      </c>
      <c r="C26" s="4" t="s">
        <v>165</v>
      </c>
      <c r="D26" s="12" t="s">
        <v>40</v>
      </c>
    </row>
    <row r="27" customFormat="false" ht="15" hidden="false" customHeight="false" outlineLevel="0" collapsed="false">
      <c r="A27" s="4" t="s">
        <v>31</v>
      </c>
      <c r="B27" s="4" t="s">
        <v>163</v>
      </c>
      <c r="C27" s="4" t="s">
        <v>166</v>
      </c>
      <c r="D27" s="12" t="s">
        <v>40</v>
      </c>
    </row>
    <row r="28" customFormat="false" ht="15" hidden="false" customHeight="false" outlineLevel="0" collapsed="false">
      <c r="A28" s="4" t="s">
        <v>31</v>
      </c>
      <c r="B28" s="4" t="s">
        <v>163</v>
      </c>
      <c r="C28" s="4" t="s">
        <v>167</v>
      </c>
      <c r="D28" s="12" t="s">
        <v>40</v>
      </c>
    </row>
    <row r="29" customFormat="false" ht="15" hidden="false" customHeight="false" outlineLevel="0" collapsed="false">
      <c r="A29" s="4" t="s">
        <v>31</v>
      </c>
      <c r="B29" s="4" t="s">
        <v>168</v>
      </c>
      <c r="C29" s="4" t="s">
        <v>169</v>
      </c>
      <c r="D29" s="12" t="s">
        <v>40</v>
      </c>
    </row>
    <row r="30" customFormat="false" ht="15" hidden="false" customHeight="false" outlineLevel="0" collapsed="false">
      <c r="A30" s="4" t="s">
        <v>31</v>
      </c>
      <c r="B30" s="4" t="s">
        <v>168</v>
      </c>
      <c r="C30" s="4" t="s">
        <v>170</v>
      </c>
      <c r="D30" s="12" t="s">
        <v>40</v>
      </c>
    </row>
    <row r="31" customFormat="false" ht="15" hidden="false" customHeight="false" outlineLevel="0" collapsed="false">
      <c r="A31" s="4" t="s">
        <v>31</v>
      </c>
      <c r="B31" s="4" t="s">
        <v>168</v>
      </c>
      <c r="C31" s="4" t="s">
        <v>171</v>
      </c>
      <c r="D31" s="12" t="s">
        <v>40</v>
      </c>
    </row>
    <row r="32" customFormat="false" ht="15" hidden="false" customHeight="false" outlineLevel="0" collapsed="false">
      <c r="A32" s="4" t="s">
        <v>31</v>
      </c>
      <c r="B32" s="4" t="s">
        <v>168</v>
      </c>
      <c r="C32" s="4" t="s">
        <v>172</v>
      </c>
      <c r="D32" s="12" t="s">
        <v>40</v>
      </c>
    </row>
    <row r="33" customFormat="false" ht="15" hidden="false" customHeight="false" outlineLevel="0" collapsed="false">
      <c r="A33" s="4" t="s">
        <v>31</v>
      </c>
      <c r="B33" s="4" t="s">
        <v>168</v>
      </c>
      <c r="C33" s="4" t="s">
        <v>173</v>
      </c>
      <c r="D33" s="12" t="s">
        <v>40</v>
      </c>
    </row>
    <row r="34" customFormat="false" ht="15" hidden="false" customHeight="false" outlineLevel="0" collapsed="false">
      <c r="A34" s="4" t="s">
        <v>31</v>
      </c>
      <c r="B34" s="4" t="s">
        <v>168</v>
      </c>
      <c r="C34" s="4" t="s">
        <v>174</v>
      </c>
      <c r="D34" s="12" t="s">
        <v>40</v>
      </c>
    </row>
    <row r="35" customFormat="false" ht="23.85" hidden="false" customHeight="false" outlineLevel="0" collapsed="false">
      <c r="A35" s="4" t="s">
        <v>31</v>
      </c>
      <c r="B35" s="4" t="s">
        <v>175</v>
      </c>
      <c r="C35" s="4" t="s">
        <v>176</v>
      </c>
      <c r="D35" s="12" t="s">
        <v>40</v>
      </c>
    </row>
    <row r="36" customFormat="false" ht="15" hidden="false" customHeight="false" outlineLevel="0" collapsed="false">
      <c r="A36" s="4" t="s">
        <v>31</v>
      </c>
      <c r="B36" s="4" t="s">
        <v>175</v>
      </c>
      <c r="C36" s="4" t="s">
        <v>177</v>
      </c>
      <c r="D36" s="12" t="s">
        <v>40</v>
      </c>
    </row>
  </sheetData>
  <dataValidations count="1">
    <dataValidation allowBlank="true" errorStyle="stop" operator="between" showDropDown="false" showErrorMessage="false" showInputMessage="false" sqref="D2:D237" type="list">
      <formula1>"SIM,NÃO,N/A"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178</v>
      </c>
    </row>
    <row r="3" customFormat="false" ht="15" hidden="false" customHeight="false" outlineLevel="0" collapsed="false">
      <c r="A3" s="15" t="s">
        <v>179</v>
      </c>
      <c r="B3" s="16" t="n">
        <f aca="false">COUNTA(Triagem!$C$5:$C$5)</f>
        <v>1</v>
      </c>
    </row>
    <row r="4" customFormat="false" ht="15" hidden="false" customHeight="false" outlineLevel="0" collapsed="false">
      <c r="A4" s="15" t="s">
        <v>180</v>
      </c>
      <c r="B4" s="16" t="n">
        <f aca="false">COUNTIF(Triagem!Z5:Z5,"APROVAR")</f>
        <v>1</v>
      </c>
    </row>
    <row r="5" customFormat="false" ht="15" hidden="false" customHeight="false" outlineLevel="0" collapsed="false">
      <c r="A5" s="15" t="s">
        <v>181</v>
      </c>
      <c r="B5" s="16" t="n">
        <f aca="false">COUNTIF(Triagem!Z5:Z5,"REVISAR")</f>
        <v>0</v>
      </c>
    </row>
    <row r="6" customFormat="false" ht="15" hidden="false" customHeight="false" outlineLevel="0" collapsed="false">
      <c r="A6" s="15" t="s">
        <v>182</v>
      </c>
      <c r="B6" s="16" t="n">
        <f aca="false">COUNTIF(Triagem!Z5:Z5,"DESCARTAR")</f>
        <v>0</v>
      </c>
    </row>
    <row r="8" customFormat="false" ht="15" hidden="false" customHeight="false" outlineLevel="0" collapsed="false">
      <c r="A8" s="15" t="s">
        <v>183</v>
      </c>
      <c r="B8" s="16" t="n">
        <f aca="false">COUNTIF(Triagem!AA5:AA5,"SIM")</f>
        <v>0</v>
      </c>
    </row>
    <row r="9" customFormat="false" ht="15" hidden="false" customHeight="false" outlineLevel="0" collapsed="false">
      <c r="A9" s="15" t="s">
        <v>184</v>
      </c>
      <c r="B9" s="16" t="n">
        <f aca="false">COUNTIF(Triagem!AA5:AA5,"NÃO")</f>
        <v>0</v>
      </c>
    </row>
    <row r="10" customFormat="false" ht="15" hidden="false" customHeight="false" outlineLevel="0" collapsed="false">
      <c r="A10" s="15" t="s">
        <v>185</v>
      </c>
      <c r="B10" s="16" t="n">
        <f aca="false">COUNTIF(Triagem!AA5:AA5,"PENDENTE")</f>
        <v>1</v>
      </c>
    </row>
    <row r="12" customFormat="false" ht="15" hidden="false" customHeight="false" outlineLevel="0" collapsed="false">
      <c r="A12" s="17" t="s">
        <v>186</v>
      </c>
      <c r="B12" s="18" t="n">
        <f aca="false">SUM(Triagem!L5:L5)</f>
        <v>4460938.48</v>
      </c>
    </row>
    <row r="13" customFormat="false" ht="15" hidden="false" customHeight="false" outlineLevel="0" collapsed="false">
      <c r="A13" s="17" t="s">
        <v>187</v>
      </c>
      <c r="B13" s="18" t="n">
        <f aca="false">SUM(Triagem!N5:N5)</f>
        <v>2676563.088</v>
      </c>
    </row>
    <row r="14" customFormat="false" ht="15" hidden="false" customHeight="false" outlineLevel="0" collapsed="false">
      <c r="A14" s="17" t="s">
        <v>188</v>
      </c>
      <c r="B14" s="18" t="n">
        <f aca="false">SUMIF(Triagem!AA5:AA5,"SIM",Triagem!L5:L5)</f>
        <v>0</v>
      </c>
    </row>
    <row r="15" customFormat="false" ht="15" hidden="false" customHeight="false" outlineLevel="0" collapsed="false">
      <c r="A15" s="17" t="s">
        <v>189</v>
      </c>
      <c r="B15" s="18" t="n">
        <f aca="false">SUMIF(Triagem!AA5:AA5,"SIM",Triagem!N5:N5)</f>
        <v>0</v>
      </c>
    </row>
    <row r="17" customFormat="false" ht="15" hidden="false" customHeight="false" outlineLevel="0" collapsed="false">
      <c r="A17" s="15" t="s">
        <v>190</v>
      </c>
      <c r="B17" s="19" t="n">
        <f aca="false">IFERROR(AVERAGE(Triagem!$Y$5:$Y$5),0)</f>
        <v>78.76563088</v>
      </c>
    </row>
    <row r="18" customFormat="false" ht="15" hidden="false" customHeight="false" outlineLevel="0" collapsed="false">
      <c r="A18" s="15" t="s">
        <v>191</v>
      </c>
      <c r="B18" s="19" t="n">
        <f aca="false">IFERROR(MAX(Triagem!$Y$5:$Y$5),0)</f>
        <v>78.76563088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96"/>
  </cols>
  <sheetData>
    <row r="1" customFormat="false" ht="33.75" hidden="false" customHeight="true" outlineLevel="0" collapsed="false">
      <c r="A1" s="3" t="s">
        <v>192</v>
      </c>
      <c r="B1" s="3" t="s">
        <v>193</v>
      </c>
      <c r="C1" s="3" t="s">
        <v>194</v>
      </c>
    </row>
    <row r="2" customFormat="false" ht="15" hidden="false" customHeight="false" outlineLevel="0" collapsed="false">
      <c r="A2" s="4" t="s">
        <v>12</v>
      </c>
      <c r="B2" s="4" t="s">
        <v>195</v>
      </c>
      <c r="C2" s="4" t="s">
        <v>196</v>
      </c>
    </row>
    <row r="3" customFormat="false" ht="15" hidden="false" customHeight="false" outlineLevel="0" collapsed="false">
      <c r="A3" s="4" t="s">
        <v>13</v>
      </c>
      <c r="B3" s="4" t="s">
        <v>195</v>
      </c>
      <c r="C3" s="4" t="s">
        <v>197</v>
      </c>
    </row>
    <row r="4" customFormat="false" ht="15" hidden="false" customHeight="false" outlineLevel="0" collapsed="false">
      <c r="A4" s="4" t="s">
        <v>14</v>
      </c>
      <c r="B4" s="4" t="s">
        <v>195</v>
      </c>
      <c r="C4" s="4" t="s">
        <v>198</v>
      </c>
    </row>
    <row r="5" customFormat="false" ht="15" hidden="false" customHeight="false" outlineLevel="0" collapsed="false">
      <c r="A5" s="4" t="s">
        <v>15</v>
      </c>
      <c r="B5" s="4" t="s">
        <v>195</v>
      </c>
      <c r="C5" s="4" t="s">
        <v>199</v>
      </c>
    </row>
    <row r="6" customFormat="false" ht="15" hidden="false" customHeight="false" outlineLevel="0" collapsed="false">
      <c r="A6" s="4" t="s">
        <v>20</v>
      </c>
      <c r="B6" s="4" t="s">
        <v>195</v>
      </c>
      <c r="C6" s="4" t="s">
        <v>200</v>
      </c>
    </row>
    <row r="7" customFormat="false" ht="15" hidden="false" customHeight="false" outlineLevel="0" collapsed="false">
      <c r="A7" s="4" t="s">
        <v>21</v>
      </c>
      <c r="B7" s="4" t="s">
        <v>195</v>
      </c>
      <c r="C7" s="4" t="s">
        <v>201</v>
      </c>
    </row>
    <row r="8" customFormat="false" ht="15" hidden="false" customHeight="false" outlineLevel="0" collapsed="false">
      <c r="A8" s="4" t="s">
        <v>22</v>
      </c>
      <c r="B8" s="4" t="s">
        <v>195</v>
      </c>
      <c r="C8" s="4" t="s">
        <v>202</v>
      </c>
    </row>
    <row r="9" customFormat="false" ht="15" hidden="false" customHeight="false" outlineLevel="0" collapsed="false">
      <c r="A9" s="4" t="s">
        <v>23</v>
      </c>
      <c r="B9" s="4" t="s">
        <v>195</v>
      </c>
      <c r="C9" s="4" t="s">
        <v>203</v>
      </c>
    </row>
    <row r="10" customFormat="false" ht="15" hidden="false" customHeight="false" outlineLevel="0" collapsed="false">
      <c r="A10" s="4" t="s">
        <v>24</v>
      </c>
      <c r="B10" s="4" t="s">
        <v>195</v>
      </c>
      <c r="C10" s="4" t="s">
        <v>204</v>
      </c>
    </row>
    <row r="11" customFormat="false" ht="15" hidden="false" customHeight="false" outlineLevel="0" collapsed="false">
      <c r="A11" s="4" t="s">
        <v>25</v>
      </c>
      <c r="B11" s="4" t="s">
        <v>195</v>
      </c>
      <c r="C11" s="4" t="s">
        <v>205</v>
      </c>
    </row>
    <row r="12" customFormat="false" ht="15" hidden="false" customHeight="false" outlineLevel="0" collapsed="false">
      <c r="A12" s="4" t="s">
        <v>26</v>
      </c>
      <c r="B12" s="4" t="s">
        <v>195</v>
      </c>
      <c r="C12" s="4" t="s">
        <v>206</v>
      </c>
    </row>
    <row r="13" customFormat="false" ht="15" hidden="false" customHeight="false" outlineLevel="0" collapsed="false">
      <c r="A13" s="4" t="s">
        <v>27</v>
      </c>
      <c r="B13" s="4" t="s">
        <v>195</v>
      </c>
      <c r="C13" s="4" t="s">
        <v>207</v>
      </c>
    </row>
    <row r="14" customFormat="false" ht="15" hidden="false" customHeight="false" outlineLevel="0" collapsed="false">
      <c r="A14" s="4" t="s">
        <v>28</v>
      </c>
      <c r="B14" s="4" t="s">
        <v>195</v>
      </c>
      <c r="C14" s="4" t="s">
        <v>208</v>
      </c>
    </row>
    <row r="15" customFormat="false" ht="15" hidden="false" customHeight="false" outlineLevel="0" collapsed="false">
      <c r="A15" s="4" t="s">
        <v>110</v>
      </c>
      <c r="B15" s="4" t="s">
        <v>209</v>
      </c>
      <c r="C15" s="4" t="s">
        <v>210</v>
      </c>
    </row>
    <row r="16" customFormat="false" ht="15" hidden="false" customHeight="false" outlineLevel="0" collapsed="false">
      <c r="A16" s="4" t="s">
        <v>175</v>
      </c>
      <c r="B16" s="4" t="s">
        <v>211</v>
      </c>
      <c r="C16" s="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2026-07-30T14:47:30Z</dcterms:created>
  <dc:creator>openpyxl</dc:creator>
  <dc:description/>
  <dc:language>en-US</dc:language>
  <cp:lastModifiedBy/>
  <dcterms:modified xsi:type="dcterms:W3CDTF">2026-07-30T14:47:30Z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